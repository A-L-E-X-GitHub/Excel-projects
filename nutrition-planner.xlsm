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9522c4ee9488644/Documents/"/>
    </mc:Choice>
  </mc:AlternateContent>
  <xr:revisionPtr revIDLastSave="27657" documentId="8_{8DCA6A64-7AB8-4575-B97F-314FDCA6FC2E}" xr6:coauthVersionLast="47" xr6:coauthVersionMax="47" xr10:uidLastSave="{4F5F0D59-6093-423F-9A4D-F3711B5F5EDB}"/>
  <bookViews>
    <workbookView xWindow="19200" yWindow="0" windowWidth="19200" windowHeight="21600" activeTab="2" xr2:uid="{5E52C367-F3F5-461A-9ACB-2CF5B065519C}"/>
  </bookViews>
  <sheets>
    <sheet name="Dashboard" sheetId="4" r:id="rId1"/>
    <sheet name="List-of-dishes" sheetId="3" r:id="rId2"/>
    <sheet name="Ingredient-list" sheetId="1" r:id="rId3"/>
    <sheet name="Workbook-data" sheetId="2" r:id="rId4"/>
    <sheet name="Sheet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3" l="1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H14" i="3" s="1"/>
  <c r="G6" i="3"/>
  <c r="F6" i="3"/>
  <c r="E6" i="3"/>
  <c r="F14" i="3" l="1"/>
  <c r="E14" i="3"/>
  <c r="G14" i="3"/>
  <c r="D13" i="3"/>
  <c r="D12" i="3"/>
  <c r="D11" i="3"/>
  <c r="D10" i="3"/>
  <c r="D9" i="3"/>
  <c r="D8" i="3"/>
  <c r="D7" i="3"/>
  <c r="D6" i="3"/>
  <c r="D14" i="3" l="1"/>
</calcChain>
</file>

<file path=xl/sharedStrings.xml><?xml version="1.0" encoding="utf-8"?>
<sst xmlns="http://schemas.openxmlformats.org/spreadsheetml/2006/main" count="48" uniqueCount="31">
  <si>
    <t>Ingredient</t>
  </si>
  <si>
    <t>Protein</t>
  </si>
  <si>
    <t>Fats</t>
  </si>
  <si>
    <t>Carbs</t>
  </si>
  <si>
    <t>Kcal</t>
  </si>
  <si>
    <t>Brand</t>
  </si>
  <si>
    <t>ICA</t>
  </si>
  <si>
    <t>Cost / Kg</t>
  </si>
  <si>
    <t>Calorie Counter</t>
  </si>
  <si>
    <t>Carb</t>
  </si>
  <si>
    <t>Fat</t>
  </si>
  <si>
    <t>Next empty (List of dishes)</t>
  </si>
  <si>
    <t>Next empty (Ingredient list)</t>
  </si>
  <si>
    <t>A10</t>
  </si>
  <si>
    <t>B6</t>
  </si>
  <si>
    <t>Next Empty data</t>
  </si>
  <si>
    <t>Calories</t>
  </si>
  <si>
    <t>Price</t>
  </si>
  <si>
    <t>Amount</t>
  </si>
  <si>
    <t>Oatmeal</t>
  </si>
  <si>
    <t>Skimmed Milk</t>
  </si>
  <si>
    <t>Sugar</t>
  </si>
  <si>
    <t>Maple Syrup</t>
  </si>
  <si>
    <t>Baked Strawberry Oatmeal</t>
  </si>
  <si>
    <t>Cream cheese</t>
  </si>
  <si>
    <t>ICA Basic</t>
  </si>
  <si>
    <t>Baking Powder</t>
  </si>
  <si>
    <t>Eggs (Small)</t>
  </si>
  <si>
    <t>Strawberries (Frozen)</t>
  </si>
  <si>
    <t>Green Grocer's</t>
  </si>
  <si>
    <t>Sums (6 servings)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</si>
</sst>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&quot; g&quot;"/>
    <numFmt numFmtId="165" formatCode="0.00&quot; kcal&quot;"/>
    <numFmt numFmtId="166" formatCode="0.00&quot; kr&quot;"/>
    <numFmt numFmtId="167" formatCode="0&quot; kcal&quot;"/>
    <numFmt numFmtId="168" formatCode="&quot;Servings: &quot;General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/>
      <top/>
      <bottom style="medium">
        <color indexed="64"/>
      </bottom>
      <diagonal/>
    </border>
    <border>
      <left/>
      <right style="thin">
        <color theme="0" tint="-0.1499679555650502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/>
      <top style="thin">
        <color theme="0" tint="-4.9989318521683403E-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indexed="64"/>
      </top>
      <bottom style="thin">
        <color theme="0" tint="-0.34998626667073579"/>
      </bottom>
      <diagonal/>
    </border>
    <border>
      <left style="dotted">
        <color theme="0" tint="-0.14993743705557422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34998626667073579"/>
      </top>
      <bottom style="thin">
        <color theme="0" tint="-0.34998626667073579"/>
      </bottom>
      <diagonal/>
    </border>
    <border>
      <left style="dotted">
        <color theme="0" tint="-0.14993743705557422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34998626667073579"/>
      </top>
      <bottom style="medium">
        <color indexed="64"/>
      </bottom>
      <diagonal/>
    </border>
    <border>
      <left style="dotted">
        <color theme="0" tint="-0.14993743705557422"/>
      </left>
      <right style="thin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tted">
        <color theme="0" tint="-0.14993743705557422"/>
      </right>
      <top/>
      <bottom style="thin">
        <color indexed="64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thin">
        <color indexed="64"/>
      </bottom>
      <diagonal/>
    </border>
    <border>
      <left style="dotted">
        <color theme="0" tint="-0.14993743705557422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3743705557422"/>
      </right>
      <top style="thin">
        <color indexed="64"/>
      </top>
      <bottom style="thin">
        <color theme="0" tint="-0.34998626667073579"/>
      </bottom>
      <diagonal/>
    </border>
    <border>
      <left/>
      <right style="dotted">
        <color theme="0" tint="-0.1499374370555742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theme="0" tint="-0.14993743705557422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3" fillId="0" borderId="2" xfId="0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6" fontId="3" fillId="0" borderId="4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164" fontId="0" fillId="0" borderId="6" xfId="0" applyNumberFormat="1" applyBorder="1" applyAlignment="1">
      <alignment horizontal="right" vertical="center" indent="1"/>
    </xf>
    <xf numFmtId="165" fontId="0" fillId="0" borderId="6" xfId="0" applyNumberFormat="1" applyBorder="1" applyAlignment="1">
      <alignment horizontal="right" vertical="center" indent="1"/>
    </xf>
    <xf numFmtId="166" fontId="0" fillId="0" borderId="7" xfId="0" applyNumberFormat="1" applyBorder="1" applyAlignment="1">
      <alignment horizontal="right" vertical="center" indent="1"/>
    </xf>
    <xf numFmtId="0" fontId="0" fillId="0" borderId="8" xfId="0" applyBorder="1"/>
    <xf numFmtId="0" fontId="0" fillId="0" borderId="9" xfId="0" applyBorder="1" applyAlignment="1">
      <alignment horizontal="left" vertical="center" indent="1"/>
    </xf>
    <xf numFmtId="164" fontId="0" fillId="0" borderId="10" xfId="0" applyNumberFormat="1" applyBorder="1" applyAlignment="1">
      <alignment horizontal="right" vertical="center" indent="1"/>
    </xf>
    <xf numFmtId="165" fontId="0" fillId="0" borderId="10" xfId="0" applyNumberFormat="1" applyBorder="1" applyAlignment="1">
      <alignment horizontal="right" vertical="center" indent="1"/>
    </xf>
    <xf numFmtId="166" fontId="0" fillId="0" borderId="11" xfId="0" applyNumberFormat="1" applyBorder="1" applyAlignment="1">
      <alignment horizontal="righ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1" xfId="0" applyNumberFormat="1" applyBorder="1" applyAlignment="1">
      <alignment vertical="center"/>
    </xf>
    <xf numFmtId="166" fontId="0" fillId="0" borderId="1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1" xfId="0" applyNumberFormat="1" applyBorder="1" applyAlignment="1">
      <alignment vertical="center"/>
    </xf>
    <xf numFmtId="164" fontId="4" fillId="3" borderId="0" xfId="0" applyNumberFormat="1" applyFont="1" applyFill="1" applyAlignment="1">
      <alignment horizontal="center" vertical="center"/>
    </xf>
    <xf numFmtId="165" fontId="4" fillId="3" borderId="0" xfId="0" applyNumberFormat="1" applyFont="1" applyFill="1" applyAlignment="1">
      <alignment horizontal="center" vertical="center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5" fontId="0" fillId="0" borderId="20" xfId="0" applyNumberFormat="1" applyBorder="1" applyAlignment="1">
      <alignment horizontal="right" vertical="center" indent="1"/>
    </xf>
    <xf numFmtId="164" fontId="0" fillId="0" borderId="21" xfId="0" applyNumberFormat="1" applyBorder="1" applyAlignment="1">
      <alignment horizontal="right" vertical="center" indent="1"/>
    </xf>
    <xf numFmtId="166" fontId="0" fillId="0" borderId="22" xfId="0" applyNumberFormat="1" applyBorder="1" applyAlignment="1">
      <alignment horizontal="right" vertical="center" indent="1"/>
    </xf>
    <xf numFmtId="164" fontId="0" fillId="0" borderId="12" xfId="0" applyNumberFormat="1" applyBorder="1" applyAlignment="1">
      <alignment horizontal="right" vertical="center" indent="1"/>
    </xf>
    <xf numFmtId="165" fontId="0" fillId="0" borderId="12" xfId="0" applyNumberFormat="1" applyBorder="1" applyAlignment="1">
      <alignment horizontal="right" vertical="center" indent="1"/>
    </xf>
    <xf numFmtId="166" fontId="0" fillId="0" borderId="13" xfId="0" applyNumberFormat="1" applyBorder="1" applyAlignment="1">
      <alignment horizontal="right" vertical="center" indent="1"/>
    </xf>
    <xf numFmtId="164" fontId="0" fillId="0" borderId="14" xfId="0" applyNumberFormat="1" applyBorder="1" applyAlignment="1">
      <alignment horizontal="right" vertical="center" indent="1"/>
    </xf>
    <xf numFmtId="165" fontId="0" fillId="0" borderId="14" xfId="0" applyNumberFormat="1" applyBorder="1" applyAlignment="1">
      <alignment horizontal="right" vertical="center" indent="1"/>
    </xf>
    <xf numFmtId="166" fontId="0" fillId="0" borderId="15" xfId="0" applyNumberFormat="1" applyBorder="1" applyAlignment="1">
      <alignment horizontal="right" vertical="center" indent="1"/>
    </xf>
    <xf numFmtId="164" fontId="0" fillId="0" borderId="16" xfId="0" applyNumberFormat="1" applyBorder="1" applyAlignment="1">
      <alignment horizontal="right" vertical="center" indent="1"/>
    </xf>
    <xf numFmtId="165" fontId="0" fillId="0" borderId="16" xfId="0" applyNumberFormat="1" applyBorder="1" applyAlignment="1">
      <alignment horizontal="right" vertical="center" indent="1"/>
    </xf>
    <xf numFmtId="166" fontId="0" fillId="0" borderId="17" xfId="0" applyNumberFormat="1" applyBorder="1" applyAlignment="1">
      <alignment horizontal="right" vertical="center" indent="1"/>
    </xf>
    <xf numFmtId="164" fontId="0" fillId="0" borderId="23" xfId="0" applyNumberFormat="1" applyBorder="1" applyAlignment="1">
      <alignment horizontal="right" vertical="center" indent="1"/>
    </xf>
    <xf numFmtId="164" fontId="0" fillId="0" borderId="24" xfId="0" applyNumberFormat="1" applyBorder="1" applyAlignment="1">
      <alignment horizontal="right" vertical="center" indent="1"/>
    </xf>
    <xf numFmtId="164" fontId="0" fillId="0" borderId="25" xfId="0" applyNumberFormat="1" applyBorder="1" applyAlignment="1">
      <alignment horizontal="right" vertical="center" indent="1"/>
    </xf>
    <xf numFmtId="168" fontId="0" fillId="0" borderId="0" xfId="0" applyNumberFormat="1" applyAlignment="1">
      <alignment vertical="center"/>
    </xf>
    <xf numFmtId="168" fontId="0" fillId="0" borderId="1" xfId="0" applyNumberFormat="1" applyBorder="1" applyAlignment="1">
      <alignment vertical="center"/>
    </xf>
    <xf numFmtId="168" fontId="4" fillId="2" borderId="0" xfId="0" applyNumberFormat="1" applyFont="1" applyFill="1" applyAlignment="1">
      <alignment horizontal="center" vertical="center"/>
    </xf>
    <xf numFmtId="168" fontId="0" fillId="0" borderId="26" xfId="0" applyNumberFormat="1" applyBorder="1" applyAlignment="1">
      <alignment horizontal="left" vertical="center" indent="1"/>
    </xf>
    <xf numFmtId="168" fontId="0" fillId="0" borderId="27" xfId="0" applyNumberFormat="1" applyBorder="1" applyAlignment="1">
      <alignment horizontal="left" vertical="center" indent="1"/>
    </xf>
    <xf numFmtId="168" fontId="0" fillId="0" borderId="28" xfId="0" applyNumberFormat="1" applyBorder="1" applyAlignment="1">
      <alignment horizontal="left" vertical="center" indent="1"/>
    </xf>
    <xf numFmtId="168" fontId="5" fillId="0" borderId="18" xfId="0" applyNumberFormat="1" applyFont="1" applyBorder="1" applyAlignment="1">
      <alignment horizontal="right" vertical="center" indent="1"/>
    </xf>
    <xf numFmtId="168" fontId="5" fillId="0" borderId="19" xfId="0" applyNumberFormat="1" applyFont="1" applyBorder="1" applyAlignment="1">
      <alignment horizontal="right" vertical="center" indent="1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numFmt numFmtId="166" formatCode="0.00&quot; kr&quot;"/>
      <alignment horizontal="right" vertical="center" textRotation="0" wrapText="0" indent="1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164" formatCode="0.00&quot; g&quot;"/>
      <alignment horizontal="righ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164" formatCode="0.00&quot; g&quot;"/>
      <alignment horizontal="righ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164" formatCode="0.00&quot; g&quot;"/>
      <alignment horizontal="righ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165" formatCode="0.00&quot; kcal&quot;"/>
      <alignment horizontal="righ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alignment horizontal="left" vertical="center" textRotation="0" wrapText="0" indent="1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border outline="0">
        <right style="thin">
          <color theme="0" tint="-0.14993743705557422"/>
        </right>
        <top style="medium">
          <color indexed="64"/>
        </top>
        <bottom style="thin">
          <color theme="0" tint="-4.9989318521683403E-2"/>
        </bottom>
      </border>
    </dxf>
    <dxf>
      <alignment horizontal="right" vertical="center" textRotation="0" wrapText="0" indent="1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64" formatCode="0.00&quot; g&quot;"/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1</xdr:col>
          <xdr:colOff>704850</xdr:colOff>
          <xdr:row>2</xdr:row>
          <xdr:rowOff>95250</xdr:rowOff>
        </xdr:to>
        <xdr:sp macro="" textlink="">
          <xdr:nvSpPr>
            <xdr:cNvPr id="6145" name="ButtonNewDishEntr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47625</xdr:rowOff>
        </xdr:from>
        <xdr:to>
          <xdr:col>8</xdr:col>
          <xdr:colOff>152400</xdr:colOff>
          <xdr:row>0</xdr:row>
          <xdr:rowOff>381000</xdr:rowOff>
        </xdr:to>
        <xdr:sp macro="" textlink="">
          <xdr:nvSpPr>
            <xdr:cNvPr id="5122" name="ButtonNewIngredientEntry0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606134-3C59-4338-863E-1655EBE8E0F7}" name="IngredientTable" displayName="IngredientTable" ref="A1:G9" totalsRowShown="0" headerRowDxfId="10" dataDxfId="8" headerRowBorderDxfId="9" tableBorderDxfId="7">
  <autoFilter ref="A1:G9" xr:uid="{33606134-3C59-4338-863E-1655EBE8E0F7}"/>
  <sortState xmlns:xlrd2="http://schemas.microsoft.com/office/spreadsheetml/2017/richdata2" ref="A2:G9">
    <sortCondition ref="A1:A9"/>
  </sortState>
  <tableColumns count="7">
    <tableColumn id="1" xr3:uid="{105173CD-6DBD-4526-99DF-5A7E0E8B29B7}" name="Ingredient" dataDxfId="6"/>
    <tableColumn id="2" xr3:uid="{A0E70FDB-BB75-4B69-8E75-C4657B60EC7E}" name="Brand" dataDxfId="5"/>
    <tableColumn id="4" xr3:uid="{43759314-0914-4B0A-9F06-790E3298F8C3}" name="Kcal" dataDxfId="4"/>
    <tableColumn id="5" xr3:uid="{68D2A9C8-108C-4E99-BE26-4EAE8868FB65}" name="Protein" dataDxfId="3"/>
    <tableColumn id="6" xr3:uid="{C80B7F76-4AB2-4865-A392-D447A48C8713}" name="Carbs" dataDxfId="2"/>
    <tableColumn id="7" xr3:uid="{9EF0AB51-8C80-48DC-BFF2-56BCC0457502}" name="Fats" dataDxfId="1"/>
    <tableColumn id="8" xr3:uid="{2CF3E915-6B89-4099-88C3-6CC128E4030E}" name="Cost / Kg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9D73-203F-45A9-A9F3-2394FC5FF1AF}">
  <sheetPr codeName="Sheet4"/>
  <dimension ref="A1"/>
  <sheetViews>
    <sheetView workbookViewId="0">
      <selection activeCell="L6" sqref="L6"/>
    </sheetView>
  </sheetViews>
  <sheetFormatPr defaultRowHeight="15" x14ac:dyDescent="0.25"/>
  <cols>
    <col min="1" max="1" width="2.855468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2829-6509-45B1-B333-E17469A4D2B6}">
  <sheetPr codeName="Sheet1"/>
  <dimension ref="B1:K68"/>
  <sheetViews>
    <sheetView showGridLines="0" workbookViewId="0">
      <pane ySplit="3" topLeftCell="A4" activePane="bottomLeft" state="frozen"/>
      <selection pane="bottomLeft" activeCell="J17" sqref="J17"/>
    </sheetView>
  </sheetViews>
  <sheetFormatPr defaultRowHeight="22.5" customHeight="1" x14ac:dyDescent="0.25"/>
  <cols>
    <col min="1" max="1" width="4.28515625" style="2" customWidth="1"/>
    <col min="2" max="2" width="35.7109375" style="45" customWidth="1"/>
    <col min="3" max="3" width="15.5703125" style="21" customWidth="1"/>
    <col min="4" max="4" width="14.28515625" style="24" customWidth="1"/>
    <col min="5" max="7" width="14.28515625" style="21" customWidth="1"/>
    <col min="8" max="8" width="21.7109375" style="3" customWidth="1"/>
    <col min="9" max="9" width="4.28515625" style="2" customWidth="1"/>
    <col min="10" max="12" width="14.28515625" style="2" customWidth="1"/>
    <col min="13" max="16384" width="9.140625" style="2"/>
  </cols>
  <sheetData>
    <row r="1" spans="2:10" ht="11.25" customHeight="1" x14ac:dyDescent="0.25"/>
    <row r="2" spans="2:10" ht="11.25" customHeight="1" x14ac:dyDescent="0.25"/>
    <row r="3" spans="2:10" s="20" customFormat="1" ht="11.25" customHeight="1" thickBot="1" x14ac:dyDescent="0.3">
      <c r="B3" s="46"/>
      <c r="C3" s="22"/>
      <c r="D3" s="25"/>
      <c r="E3" s="22"/>
      <c r="F3" s="22"/>
      <c r="G3" s="22"/>
      <c r="H3" s="23"/>
    </row>
    <row r="5" spans="2:10" ht="22.5" customHeight="1" x14ac:dyDescent="0.25">
      <c r="B5" s="47" t="s">
        <v>23</v>
      </c>
      <c r="C5" s="26" t="s">
        <v>18</v>
      </c>
      <c r="D5" s="27" t="s">
        <v>16</v>
      </c>
      <c r="E5" s="26" t="s">
        <v>1</v>
      </c>
      <c r="F5" s="26" t="s">
        <v>3</v>
      </c>
      <c r="G5" s="26" t="s">
        <v>10</v>
      </c>
      <c r="H5" s="28" t="s">
        <v>17</v>
      </c>
    </row>
    <row r="6" spans="2:10" ht="22.5" customHeight="1" x14ac:dyDescent="0.25">
      <c r="B6" s="48" t="s">
        <v>26</v>
      </c>
      <c r="C6" s="42">
        <v>5</v>
      </c>
      <c r="D6" s="34">
        <f>(4*$E$6)+(4*$F$6)+(9*$G$6)</f>
        <v>134</v>
      </c>
      <c r="E6" s="33">
        <f>VLOOKUP($B$6, IngredientTable[], 4, FALSE)</f>
        <v>0.5</v>
      </c>
      <c r="F6" s="33">
        <f>VLOOKUP($B$6, IngredientTable[], 5, FALSE)</f>
        <v>33</v>
      </c>
      <c r="G6" s="33">
        <f>VLOOKUP($B$6, IngredientTable[], 6, FALSE)</f>
        <v>0</v>
      </c>
      <c r="H6" s="35">
        <f>VLOOKUP($B$6, IngredientTable[], 7, FALSE) * (5/1000)</f>
        <v>0.35333333333333339</v>
      </c>
    </row>
    <row r="7" spans="2:10" ht="22.5" customHeight="1" x14ac:dyDescent="0.25">
      <c r="B7" s="49" t="s">
        <v>24</v>
      </c>
      <c r="C7" s="43">
        <v>150</v>
      </c>
      <c r="D7" s="37">
        <f>(4*$E$7)+(4*$F$7)+(9*$G$7)</f>
        <v>206.8</v>
      </c>
      <c r="E7" s="36">
        <f>VLOOKUP($B$7, IngredientTable[], 4, FALSE)</f>
        <v>3.6</v>
      </c>
      <c r="F7" s="36">
        <f>VLOOKUP($B$7, IngredientTable[], 5, FALSE)</f>
        <v>3.1</v>
      </c>
      <c r="G7" s="36">
        <f>VLOOKUP($B$7, IngredientTable[], 6, FALSE)</f>
        <v>20</v>
      </c>
      <c r="H7" s="38">
        <f>VLOOKUP($B$7, IngredientTable[], 7, FALSE) * (150/1000)</f>
        <v>11.25</v>
      </c>
    </row>
    <row r="8" spans="2:10" ht="22.5" customHeight="1" x14ac:dyDescent="0.25">
      <c r="B8" s="49" t="s">
        <v>27</v>
      </c>
      <c r="C8" s="43">
        <v>140</v>
      </c>
      <c r="D8" s="37">
        <f>(4*$E$8)+(4*$F$8)+(9*$G$8)</f>
        <v>137.30000000000001</v>
      </c>
      <c r="E8" s="36">
        <f>VLOOKUP($B$8, IngredientTable[], 4, FALSE)</f>
        <v>12</v>
      </c>
      <c r="F8" s="36">
        <f>VLOOKUP($B$8, IngredientTable[], 5, FALSE)</f>
        <v>0.5</v>
      </c>
      <c r="G8" s="36">
        <f>VLOOKUP($B$8, IngredientTable[], 6, FALSE)</f>
        <v>9.6999999999999993</v>
      </c>
      <c r="H8" s="38">
        <f>VLOOKUP($B$8, IngredientTable[], 7, FALSE) * (140/1000)</f>
        <v>4.8977987421383649</v>
      </c>
    </row>
    <row r="9" spans="2:10" ht="22.5" customHeight="1" x14ac:dyDescent="0.25">
      <c r="B9" s="49" t="s">
        <v>22</v>
      </c>
      <c r="C9" s="43">
        <v>40</v>
      </c>
      <c r="D9" s="37">
        <f>(4*$E$9)+(4*$F$9)+(9*$G$9)</f>
        <v>312</v>
      </c>
      <c r="E9" s="36">
        <f>VLOOKUP($B$9, IngredientTable[], 4, FALSE)</f>
        <v>0</v>
      </c>
      <c r="F9" s="36">
        <f>VLOOKUP($B$9, IngredientTable[], 5, FALSE)</f>
        <v>78</v>
      </c>
      <c r="G9" s="36">
        <f>VLOOKUP($B$9, IngredientTable[], 6, FALSE)</f>
        <v>0</v>
      </c>
      <c r="H9" s="38">
        <f>VLOOKUP($B$9, IngredientTable[], 7, FALSE) * (40/1000)</f>
        <v>0.90133333333333332</v>
      </c>
    </row>
    <row r="10" spans="2:10" ht="22.5" customHeight="1" x14ac:dyDescent="0.25">
      <c r="B10" s="49" t="s">
        <v>19</v>
      </c>
      <c r="C10" s="43">
        <v>240</v>
      </c>
      <c r="D10" s="37">
        <f>(4*$E$10)+(4*$F$10)+(9*$G$10)</f>
        <v>357</v>
      </c>
      <c r="E10" s="36">
        <f>VLOOKUP($B$10, IngredientTable[], 4, FALSE)</f>
        <v>9.5</v>
      </c>
      <c r="F10" s="36">
        <f>VLOOKUP($B$10, IngredientTable[], 5, FALSE)</f>
        <v>64</v>
      </c>
      <c r="G10" s="36">
        <f>VLOOKUP($B$10, IngredientTable[], 6, FALSE)</f>
        <v>7</v>
      </c>
      <c r="H10" s="38">
        <f>VLOOKUP($B$10, IngredientTable[], 7, FALSE) * (240/1000)</f>
        <v>3.9199999999999995</v>
      </c>
    </row>
    <row r="11" spans="2:10" ht="22.5" customHeight="1" x14ac:dyDescent="0.25">
      <c r="B11" s="49" t="s">
        <v>20</v>
      </c>
      <c r="C11" s="43">
        <v>450</v>
      </c>
      <c r="D11" s="37">
        <f>(4*$E$11)+(4*$F$11)+(9*$G$11)</f>
        <v>38.1</v>
      </c>
      <c r="E11" s="36">
        <f>VLOOKUP($B$11, IngredientTable[], 4, FALSE)</f>
        <v>3.5</v>
      </c>
      <c r="F11" s="36">
        <f>VLOOKUP($B$11, IngredientTable[], 5, FALSE)</f>
        <v>4.9000000000000004</v>
      </c>
      <c r="G11" s="36">
        <f>VLOOKUP($B$11, IngredientTable[], 6, FALSE)</f>
        <v>0.5</v>
      </c>
      <c r="H11" s="38">
        <f>VLOOKUP($B$11, IngredientTable[], 7, FALSE) * (450/1000)</f>
        <v>5.669999999999999</v>
      </c>
      <c r="I11" s="24"/>
      <c r="J11" s="21"/>
    </row>
    <row r="12" spans="2:10" ht="22.5" customHeight="1" x14ac:dyDescent="0.25">
      <c r="B12" s="49" t="s">
        <v>28</v>
      </c>
      <c r="C12" s="43">
        <v>400</v>
      </c>
      <c r="D12" s="37">
        <f>(4*$E$12)+(4*$F$12)+(9*$G$12)</f>
        <v>38.9</v>
      </c>
      <c r="E12" s="36">
        <f>VLOOKUP($B$12, IngredientTable[], 4, FALSE)</f>
        <v>0.4</v>
      </c>
      <c r="F12" s="36">
        <f>VLOOKUP($B$12, IngredientTable[], 5, FALSE)</f>
        <v>9.1</v>
      </c>
      <c r="G12" s="36">
        <f>VLOOKUP($B$12, IngredientTable[], 6, FALSE)</f>
        <v>0.1</v>
      </c>
      <c r="H12" s="38">
        <f>VLOOKUP($B$12, IngredientTable[], 7, FALSE) * (400/1000)</f>
        <v>11.733333333333334</v>
      </c>
      <c r="I12" s="24"/>
      <c r="J12" s="21"/>
    </row>
    <row r="13" spans="2:10" ht="22.5" customHeight="1" thickBot="1" x14ac:dyDescent="0.3">
      <c r="B13" s="50" t="s">
        <v>21</v>
      </c>
      <c r="C13" s="44">
        <v>20</v>
      </c>
      <c r="D13" s="40">
        <f>(4*$E$13)+(4*$F$13)+(9*$G$13)</f>
        <v>400</v>
      </c>
      <c r="E13" s="39">
        <f>VLOOKUP($B$13, IngredientTable[], 4, FALSE)</f>
        <v>0</v>
      </c>
      <c r="F13" s="39">
        <f>VLOOKUP($B$13, IngredientTable[], 5, FALSE)</f>
        <v>100</v>
      </c>
      <c r="G13" s="39">
        <f>VLOOKUP($B$13, IngredientTable[], 6, FALSE)</f>
        <v>0</v>
      </c>
      <c r="H13" s="41">
        <f>VLOOKUP($B$13, IngredientTable[], 7, FALSE) * (20/1000)</f>
        <v>0.34500000000000003</v>
      </c>
      <c r="I13" s="24"/>
      <c r="J13" s="21"/>
    </row>
    <row r="14" spans="2:10" ht="22.5" customHeight="1" x14ac:dyDescent="0.25">
      <c r="B14" s="51" t="s">
        <v>30</v>
      </c>
      <c r="C14" s="52"/>
      <c r="D14" s="30">
        <f>SUM($D$6:$D$13)</f>
        <v>1624.1</v>
      </c>
      <c r="E14" s="31">
        <f>SUM($E$6:$E$13)</f>
        <v>29.5</v>
      </c>
      <c r="F14" s="31">
        <f>SUM($F$6:$F$13)</f>
        <v>292.60000000000002</v>
      </c>
      <c r="G14" s="31">
        <f>SUM($G$6:$G$13)</f>
        <v>37.300000000000004</v>
      </c>
      <c r="H14" s="32">
        <f>SUM($H$6:$H$13)</f>
        <v>39.070798742138365</v>
      </c>
      <c r="I14" s="24"/>
      <c r="J14" s="21"/>
    </row>
    <row r="15" spans="2:10" ht="22.5" customHeight="1" x14ac:dyDescent="0.25">
      <c r="I15" s="24"/>
      <c r="J15" s="21"/>
    </row>
    <row r="16" spans="2:10" ht="22.5" customHeight="1" x14ac:dyDescent="0.25">
      <c r="I16" s="24"/>
      <c r="J16" s="21"/>
    </row>
    <row r="17" spans="9:10" ht="22.5" customHeight="1" x14ac:dyDescent="0.25">
      <c r="I17" s="24"/>
      <c r="J17" s="21"/>
    </row>
    <row r="18" spans="9:10" ht="22.5" customHeight="1" x14ac:dyDescent="0.25">
      <c r="I18" s="24"/>
      <c r="J18" s="21"/>
    </row>
    <row r="19" spans="9:10" ht="22.5" customHeight="1" x14ac:dyDescent="0.25">
      <c r="I19" s="24"/>
      <c r="J19" s="21"/>
    </row>
    <row r="32" spans="9:10" ht="22.5" customHeight="1" x14ac:dyDescent="0.25">
      <c r="I32" s="24"/>
      <c r="J32" s="21"/>
    </row>
    <row r="35" spans="9:10" ht="22.5" customHeight="1" x14ac:dyDescent="0.25">
      <c r="I35" s="24"/>
      <c r="J35" s="21"/>
    </row>
    <row r="36" spans="9:10" ht="22.5" customHeight="1" x14ac:dyDescent="0.25">
      <c r="I36" s="24"/>
      <c r="J36" s="21"/>
    </row>
    <row r="37" spans="9:10" ht="22.5" customHeight="1" x14ac:dyDescent="0.25">
      <c r="I37" s="24"/>
      <c r="J37" s="21"/>
    </row>
    <row r="38" spans="9:10" ht="22.5" customHeight="1" x14ac:dyDescent="0.25">
      <c r="I38" s="24"/>
      <c r="J38" s="21"/>
    </row>
    <row r="39" spans="9:10" ht="22.5" customHeight="1" x14ac:dyDescent="0.25">
      <c r="I39" s="24"/>
      <c r="J39" s="21"/>
    </row>
    <row r="40" spans="9:10" ht="22.5" customHeight="1" x14ac:dyDescent="0.25">
      <c r="I40" s="24"/>
      <c r="J40" s="21"/>
    </row>
    <row r="50" spans="8:11" ht="22.5" customHeight="1" x14ac:dyDescent="0.25">
      <c r="I50" s="24"/>
      <c r="J50" s="21"/>
      <c r="K50" s="21"/>
    </row>
    <row r="51" spans="8:11" ht="22.5" customHeight="1" x14ac:dyDescent="0.25">
      <c r="I51" s="24"/>
      <c r="J51" s="21"/>
      <c r="K51" s="21"/>
    </row>
    <row r="52" spans="8:11" ht="22.5" customHeight="1" x14ac:dyDescent="0.25">
      <c r="I52" s="24"/>
      <c r="J52" s="21"/>
      <c r="K52" s="21"/>
    </row>
    <row r="53" spans="8:11" ht="22.5" customHeight="1" x14ac:dyDescent="0.25">
      <c r="I53" s="24"/>
      <c r="J53" s="21"/>
      <c r="K53" s="21"/>
    </row>
    <row r="54" spans="8:11" ht="22.5" customHeight="1" x14ac:dyDescent="0.25">
      <c r="I54" s="24"/>
      <c r="J54" s="21"/>
      <c r="K54" s="21"/>
    </row>
    <row r="55" spans="8:11" ht="22.5" customHeight="1" x14ac:dyDescent="0.25">
      <c r="I55" s="24"/>
      <c r="J55" s="21"/>
      <c r="K55" s="21"/>
    </row>
    <row r="56" spans="8:11" ht="22.5" customHeight="1" x14ac:dyDescent="0.25">
      <c r="I56" s="24"/>
      <c r="J56" s="21"/>
      <c r="K56" s="21"/>
    </row>
    <row r="57" spans="8:11" ht="22.5" customHeight="1" x14ac:dyDescent="0.25">
      <c r="I57" s="24"/>
      <c r="J57" s="21"/>
      <c r="K57" s="21"/>
    </row>
    <row r="58" spans="8:11" ht="22.5" customHeight="1" x14ac:dyDescent="0.25">
      <c r="I58" s="24"/>
      <c r="J58" s="21"/>
      <c r="K58" s="21"/>
    </row>
    <row r="64" spans="8:11" ht="22.5" customHeight="1" x14ac:dyDescent="0.25">
      <c r="H64" s="21"/>
      <c r="I64" s="3"/>
      <c r="J64" s="24"/>
      <c r="K64" s="21"/>
    </row>
    <row r="65" spans="8:9" ht="22.5" customHeight="1" x14ac:dyDescent="0.25">
      <c r="H65" s="21"/>
      <c r="I65" s="3"/>
    </row>
    <row r="66" spans="8:9" ht="22.5" customHeight="1" x14ac:dyDescent="0.25">
      <c r="H66" s="21"/>
      <c r="I66" s="3"/>
    </row>
    <row r="67" spans="8:9" ht="22.5" customHeight="1" x14ac:dyDescent="0.25">
      <c r="H67" s="21"/>
      <c r="I67" s="3"/>
    </row>
    <row r="68" spans="8:9" ht="22.5" customHeight="1" x14ac:dyDescent="0.25">
      <c r="H68" s="21"/>
      <c r="I68" s="3"/>
    </row>
  </sheetData>
  <mergeCells count="1">
    <mergeCell ref="B14:C14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uttonNewDishEntry">
          <controlPr defaultSize="0" autoLine="0" r:id="rId4">
            <anchor mov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704850</xdr:colOff>
                <xdr:row>2</xdr:row>
                <xdr:rowOff>95250</xdr:rowOff>
              </to>
            </anchor>
          </controlPr>
        </control>
      </mc:Choice>
      <mc:Fallback>
        <control shapeId="6145" r:id="rId3" name="ButtonNewDishEnt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D7F51-4DD5-4338-B680-ABA5EE871242}">
  <sheetPr codeName="Sheet2"/>
  <dimension ref="A1:G10"/>
  <sheetViews>
    <sheetView showGridLines="0" tabSelected="1" workbookViewId="0">
      <pane ySplit="1" topLeftCell="A2" activePane="bottomLeft" state="frozen"/>
      <selection pane="bottomLeft" activeCell="G16" sqref="G16"/>
    </sheetView>
  </sheetViews>
  <sheetFormatPr defaultRowHeight="22.5" customHeight="1" x14ac:dyDescent="0.25"/>
  <cols>
    <col min="1" max="1" width="28.5703125" style="8" customWidth="1"/>
    <col min="2" max="2" width="21.42578125" style="8" customWidth="1"/>
    <col min="3" max="3" width="14.28515625" style="10" customWidth="1"/>
    <col min="4" max="6" width="14.28515625" style="9" customWidth="1"/>
    <col min="7" max="7" width="14.28515625" style="11" customWidth="1"/>
    <col min="8" max="8" width="14.28515625" style="2" customWidth="1"/>
    <col min="9" max="16384" width="9.140625" style="2"/>
  </cols>
  <sheetData>
    <row r="1" spans="1:7" s="12" customFormat="1" ht="33.75" customHeight="1" thickBot="1" x14ac:dyDescent="0.3">
      <c r="A1" s="4" t="s">
        <v>0</v>
      </c>
      <c r="B1" s="4" t="s">
        <v>5</v>
      </c>
      <c r="C1" s="6" t="s">
        <v>4</v>
      </c>
      <c r="D1" s="5" t="s">
        <v>1</v>
      </c>
      <c r="E1" s="5" t="s">
        <v>3</v>
      </c>
      <c r="F1" s="5" t="s">
        <v>2</v>
      </c>
      <c r="G1" s="7" t="s">
        <v>7</v>
      </c>
    </row>
    <row r="2" spans="1:7" ht="22.5" customHeight="1" x14ac:dyDescent="0.25">
      <c r="A2" s="13" t="s">
        <v>26</v>
      </c>
      <c r="B2" s="13" t="s">
        <v>6</v>
      </c>
      <c r="C2" s="15">
        <v>134</v>
      </c>
      <c r="D2" s="14">
        <v>0.5</v>
      </c>
      <c r="E2" s="14">
        <v>33</v>
      </c>
      <c r="F2" s="14">
        <v>0</v>
      </c>
      <c r="G2" s="16">
        <v>70.666666666666671</v>
      </c>
    </row>
    <row r="3" spans="1:7" ht="22.5" customHeight="1" x14ac:dyDescent="0.25">
      <c r="A3" s="13" t="s">
        <v>24</v>
      </c>
      <c r="B3" s="13" t="s">
        <v>25</v>
      </c>
      <c r="C3" s="15">
        <v>206.8</v>
      </c>
      <c r="D3" s="14">
        <v>3.6</v>
      </c>
      <c r="E3" s="14">
        <v>3.1</v>
      </c>
      <c r="F3" s="14">
        <v>20</v>
      </c>
      <c r="G3" s="16">
        <v>75</v>
      </c>
    </row>
    <row r="4" spans="1:7" ht="22.5" customHeight="1" x14ac:dyDescent="0.25">
      <c r="A4" s="13" t="s">
        <v>27</v>
      </c>
      <c r="B4" s="13" t="s">
        <v>25</v>
      </c>
      <c r="C4" s="15">
        <v>137.30000000000001</v>
      </c>
      <c r="D4" s="14">
        <v>12</v>
      </c>
      <c r="E4" s="14">
        <v>0.5</v>
      </c>
      <c r="F4" s="14">
        <v>9.6999999999999993</v>
      </c>
      <c r="G4" s="16">
        <v>34.984276729559745</v>
      </c>
    </row>
    <row r="5" spans="1:7" ht="22.5" customHeight="1" x14ac:dyDescent="0.25">
      <c r="A5" s="13" t="s">
        <v>22</v>
      </c>
      <c r="B5" s="13" t="s">
        <v>6</v>
      </c>
      <c r="C5" s="15">
        <v>312</v>
      </c>
      <c r="D5" s="14">
        <v>0</v>
      </c>
      <c r="E5" s="14">
        <v>78</v>
      </c>
      <c r="F5" s="14">
        <v>0</v>
      </c>
      <c r="G5" s="16">
        <v>22.533333333333331</v>
      </c>
    </row>
    <row r="6" spans="1:7" ht="22.5" customHeight="1" x14ac:dyDescent="0.25">
      <c r="A6" s="13" t="s">
        <v>19</v>
      </c>
      <c r="B6" s="13" t="s">
        <v>6</v>
      </c>
      <c r="C6" s="15">
        <v>357</v>
      </c>
      <c r="D6" s="14">
        <v>9.5</v>
      </c>
      <c r="E6" s="14">
        <v>64</v>
      </c>
      <c r="F6" s="14">
        <v>7</v>
      </c>
      <c r="G6" s="16">
        <v>16.333333333333332</v>
      </c>
    </row>
    <row r="7" spans="1:7" ht="22.5" customHeight="1" x14ac:dyDescent="0.25">
      <c r="A7" s="13" t="s">
        <v>20</v>
      </c>
      <c r="B7" s="13" t="s">
        <v>6</v>
      </c>
      <c r="C7" s="15">
        <v>38.1</v>
      </c>
      <c r="D7" s="14">
        <v>3.5</v>
      </c>
      <c r="E7" s="14">
        <v>4.9000000000000004</v>
      </c>
      <c r="F7" s="14">
        <v>0.5</v>
      </c>
      <c r="G7" s="16">
        <v>12.599999999999998</v>
      </c>
    </row>
    <row r="8" spans="1:7" ht="22.5" customHeight="1" x14ac:dyDescent="0.25">
      <c r="A8" s="13" t="s">
        <v>28</v>
      </c>
      <c r="B8" s="13" t="s">
        <v>29</v>
      </c>
      <c r="C8" s="15">
        <v>38.9</v>
      </c>
      <c r="D8" s="14">
        <v>0.4</v>
      </c>
      <c r="E8" s="14">
        <v>9.1</v>
      </c>
      <c r="F8" s="14">
        <v>0.1</v>
      </c>
      <c r="G8" s="16">
        <v>29.333333333333332</v>
      </c>
    </row>
    <row r="9" spans="1:7" ht="22.5" customHeight="1" x14ac:dyDescent="0.25">
      <c r="A9" s="13" t="s">
        <v>21</v>
      </c>
      <c r="B9" s="13" t="s">
        <v>25</v>
      </c>
      <c r="C9" s="15">
        <v>400</v>
      </c>
      <c r="D9" s="14">
        <v>0</v>
      </c>
      <c r="E9" s="14">
        <v>100</v>
      </c>
      <c r="F9" s="14">
        <v>0</v>
      </c>
      <c r="G9" s="16">
        <v>17.25</v>
      </c>
    </row>
    <row r="10" spans="1:7" ht="22.5" customHeight="1" x14ac:dyDescent="0.25">
      <c r="A10" s="13"/>
      <c r="B10" s="13"/>
      <c r="C10" s="15"/>
      <c r="D10" s="14"/>
      <c r="E10" s="14"/>
      <c r="F10" s="1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uttonNewIngredientEntry01">
          <controlPr defaultSize="0" autoLine="0" r:id="rId5">
            <anchor moveWithCells="1">
              <from>
                <xdr:col>7</xdr:col>
                <xdr:colOff>38100</xdr:colOff>
                <xdr:row>0</xdr:row>
                <xdr:rowOff>47625</xdr:rowOff>
              </from>
              <to>
                <xdr:col>8</xdr:col>
                <xdr:colOff>152400</xdr:colOff>
                <xdr:row>0</xdr:row>
                <xdr:rowOff>381000</xdr:rowOff>
              </to>
            </anchor>
          </controlPr>
        </control>
      </mc:Choice>
      <mc:Fallback>
        <control shapeId="5122" r:id="rId4" name="ButtonNewIngredientEntry0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1D4CE-B804-4A2F-9B4C-1FDE8BB6C44B}">
  <sheetPr codeName="Sheet3"/>
  <dimension ref="B2:C10"/>
  <sheetViews>
    <sheetView workbookViewId="0">
      <selection activeCell="J20" sqref="J20"/>
    </sheetView>
  </sheetViews>
  <sheetFormatPr defaultRowHeight="15" x14ac:dyDescent="0.25"/>
  <cols>
    <col min="1" max="1" width="2.85546875" customWidth="1"/>
    <col min="2" max="2" width="26.28515625" bestFit="1" customWidth="1"/>
    <col min="3" max="3" width="10" customWidth="1"/>
    <col min="4" max="4" width="2.85546875" customWidth="1"/>
  </cols>
  <sheetData>
    <row r="2" spans="2:3" s="1" customFormat="1" ht="22.5" customHeight="1" x14ac:dyDescent="0.25">
      <c r="B2" s="53" t="s">
        <v>8</v>
      </c>
      <c r="C2" s="53"/>
    </row>
    <row r="3" spans="2:3" x14ac:dyDescent="0.25">
      <c r="B3" s="17" t="s">
        <v>1</v>
      </c>
      <c r="C3" s="19">
        <v>4</v>
      </c>
    </row>
    <row r="4" spans="2:3" x14ac:dyDescent="0.25">
      <c r="B4" s="17" t="s">
        <v>9</v>
      </c>
      <c r="C4" s="19">
        <v>4</v>
      </c>
    </row>
    <row r="5" spans="2:3" x14ac:dyDescent="0.25">
      <c r="B5" s="17" t="s">
        <v>10</v>
      </c>
      <c r="C5" s="19">
        <v>9</v>
      </c>
    </row>
    <row r="8" spans="2:3" ht="22.5" customHeight="1" x14ac:dyDescent="0.25">
      <c r="B8" s="53" t="s">
        <v>15</v>
      </c>
      <c r="C8" s="53"/>
    </row>
    <row r="9" spans="2:3" x14ac:dyDescent="0.25">
      <c r="B9" s="17" t="s">
        <v>11</v>
      </c>
      <c r="C9" s="18" t="s">
        <v>14</v>
      </c>
    </row>
    <row r="10" spans="2:3" x14ac:dyDescent="0.25">
      <c r="B10" s="17" t="s">
        <v>12</v>
      </c>
      <c r="C10" s="18" t="s">
        <v>13</v>
      </c>
    </row>
  </sheetData>
  <mergeCells count="2">
    <mergeCell ref="B8:C8"/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0E9B-A715-475B-AAA7-9E598939B8AA}">
  <sheetPr codeName="Sheet5"/>
  <dimension ref="I2:I52"/>
  <sheetViews>
    <sheetView workbookViewId="0">
      <selection activeCell="Y14" sqref="Y14"/>
    </sheetView>
  </sheetViews>
  <sheetFormatPr defaultColWidth="7.140625" defaultRowHeight="15" x14ac:dyDescent="0.25"/>
  <cols>
    <col min="1" max="1" width="2.85546875" style="18" customWidth="1"/>
    <col min="2" max="16384" width="7.140625" style="18"/>
  </cols>
  <sheetData>
    <row r="2" spans="9:9" ht="30" customHeight="1" x14ac:dyDescent="0.25"/>
    <row r="3" spans="9:9" ht="15" customHeight="1" x14ac:dyDescent="0.25"/>
    <row r="4" spans="9:9" ht="30" customHeight="1" x14ac:dyDescent="0.25"/>
    <row r="5" spans="9:9" ht="30" customHeight="1" x14ac:dyDescent="0.25"/>
    <row r="6" spans="9:9" ht="30" customHeight="1" x14ac:dyDescent="0.25"/>
    <row r="7" spans="9:9" ht="30" customHeight="1" x14ac:dyDescent="0.25">
      <c r="I7" s="29"/>
    </row>
    <row r="8" spans="9:9" ht="30" customHeight="1" x14ac:dyDescent="0.25"/>
    <row r="9" spans="9:9" ht="30" customHeight="1" x14ac:dyDescent="0.25"/>
    <row r="10" spans="9:9" ht="30" customHeight="1" x14ac:dyDescent="0.25"/>
    <row r="11" spans="9:9" ht="30" customHeight="1" x14ac:dyDescent="0.25"/>
    <row r="12" spans="9:9" ht="30" customHeight="1" x14ac:dyDescent="0.25"/>
    <row r="13" spans="9:9" ht="30" customHeight="1" x14ac:dyDescent="0.25"/>
    <row r="14" spans="9:9" ht="30" customHeight="1" x14ac:dyDescent="0.25"/>
    <row r="15" spans="9:9" ht="30" customHeight="1" x14ac:dyDescent="0.25"/>
    <row r="16" spans="9:9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ractic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List-of-dishes</vt:lpstr>
      <vt:lpstr>Ingredient-list</vt:lpstr>
      <vt:lpstr>Workbook-data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 Alex *</dc:creator>
  <cp:lastModifiedBy>* Alex *</cp:lastModifiedBy>
  <dcterms:created xsi:type="dcterms:W3CDTF">2024-05-18T14:41:07Z</dcterms:created>
  <dcterms:modified xsi:type="dcterms:W3CDTF">2024-05-25T22:07:59Z</dcterms:modified>
</cp:coreProperties>
</file>